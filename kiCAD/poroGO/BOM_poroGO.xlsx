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dovicoCaracciolo\Documents\Git-repo\poroGO\kiCAD\poroGO\"/>
    </mc:Choice>
  </mc:AlternateContent>
  <xr:revisionPtr revIDLastSave="0" documentId="13_ncr:1_{0D300DBB-3F5E-403A-8353-06E98EE10EC9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BOM" sheetId="1" r:id="rId1"/>
    <sheet name="Details" sheetId="2" r:id="rId2"/>
    <sheet name="Excluded (DNP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2" l="1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34" i="2" s="1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<sst xmlns="http://schemas.openxmlformats.org/spreadsheetml/2006/main" count="425" uniqueCount="313">
  <si>
    <t>Item name</t>
  </si>
  <si>
    <t>Supplier product no</t>
  </si>
  <si>
    <t>Supplier link/Item name</t>
  </si>
  <si>
    <t>Quantity</t>
  </si>
  <si>
    <t>Capacitor 2.2uF 0603 25V X5R 10% (Murata GRM188R61E225KA12D)</t>
  </si>
  <si>
    <t>490-10731-1-ND</t>
  </si>
  <si>
    <t>https://www.digikey.nl/en/products/result?keywords=490-10731-1-ND</t>
  </si>
  <si>
    <t>Capacitor 10uF 0603 25V X5R 20% (Murata GRM188R61E106MA73D)</t>
  </si>
  <si>
    <t>490-7202-1-ND</t>
  </si>
  <si>
    <t>https://www.digikey.nl/en/products/result?keywords=490-7202-1-ND</t>
  </si>
  <si>
    <t>Capacitor 10uF 0805 35V X5R 10% (TDK C2012X5R1V106K085AC)</t>
  </si>
  <si>
    <t>445-14417-1-ND</t>
  </si>
  <si>
    <t>https://www.digikey.nl/en/products/result?keywords=445-14417-1-ND</t>
  </si>
  <si>
    <t>Capacitor 1nF 0603 50V X7R 10% (Samsung CL10B102KB8NNNC)</t>
  </si>
  <si>
    <t>1276-1018-1-ND</t>
  </si>
  <si>
    <t>https://www.digikey.nl/en/products/result?keywords=1276-1018-1-ND</t>
  </si>
  <si>
    <t>Capacitor 1uF 0603 25V X7R 10% (Wurth 885012206076)</t>
  </si>
  <si>
    <t>732-7994-1-ND</t>
  </si>
  <si>
    <t>https://www.digikey.nl/en/products/result?keywords=732-7994-1-ND</t>
  </si>
  <si>
    <t>Capacitor 100pF 0603 50V C0G 5% (Samsung CL10C101JB8NNNC)</t>
  </si>
  <si>
    <t>1276-1008-1-ND</t>
  </si>
  <si>
    <t>https://www.digikey.nl/en/products/result?keywords=1276-1008-1-ND</t>
  </si>
  <si>
    <t>Resistor 5.1k 0603 1% (Bourns CR0603-FX-5101ELF)</t>
  </si>
  <si>
    <t>CR0603-FX-5101ELFCT-ND</t>
  </si>
  <si>
    <t>https://www.digikey.nl/en/products/result?keywords=CR0603-FX-5101ELF</t>
  </si>
  <si>
    <t>Resistor 6.8k 0603 1% (Bourns CR0603-FX-6801ELF)</t>
  </si>
  <si>
    <t>CR0603-FX-6801ELFCT-ND</t>
  </si>
  <si>
    <t>https://www.digikey.nl/en/products/result?keywords=CR0603-FX-6801ELF</t>
  </si>
  <si>
    <t>Resistor 187k 0603 1% (Bourns CR0603-FX-1873ELF)</t>
  </si>
  <si>
    <t>118-CR0603-FX-1873ELFCT-ND</t>
  </si>
  <si>
    <t>https://www.digikey.nl/en/products/result?keywords=CR0603-FX-1873ELF</t>
  </si>
  <si>
    <t>Resistor 100k 0603 1% (Bourns CR0603-FX-1003ELF)</t>
  </si>
  <si>
    <t>CR0603-FX-1003ELFCT-ND</t>
  </si>
  <si>
    <t>https://www.digikey.nl/en/products/result?keywords=CR0603-FX-1003ELF</t>
  </si>
  <si>
    <t>Resistor 15R 0603 1% (Bourns CR0603-FX-15R0ELF)</t>
  </si>
  <si>
    <t>CR0603-FX-15R0ELFCT-ND</t>
  </si>
  <si>
    <t>https://www.digikey.nl/en/products/result?keywords=CR0603-FX-15R0ELF</t>
  </si>
  <si>
    <t>Resistor 1.5k 0603 1% (Bourns CR0603-FX-1501ELF)</t>
  </si>
  <si>
    <t>118-CR0603-FX-1501ELFCT-ND</t>
  </si>
  <si>
    <t>https://www.digikey.nl/en/products/result?keywords=CR0603-FX-1501ELF</t>
  </si>
  <si>
    <t>Resistor 270k 0603 1% (Yageo RC0603FR-07270KL)</t>
  </si>
  <si>
    <t>311-270KHRCT-ND</t>
  </si>
  <si>
    <t>https://www.digikey.nl/en/products/result?keywords=RC0603FR-07270KL</t>
  </si>
  <si>
    <t>Resistor 100R 0603 1% (Bourns CR0603-FX-1000ELF)</t>
  </si>
  <si>
    <t>CR0603-FX-1000ELFCT-ND</t>
  </si>
  <si>
    <t>https://www.digikey.nl/en/products/result?keywords=CR0603-FX-1000ELF</t>
  </si>
  <si>
    <t>Resistor 39k 0603 1% (Bourns CR0603-FX-3902ELF)</t>
  </si>
  <si>
    <t>CR0603-FX-3902ELFCT-ND</t>
  </si>
  <si>
    <t>https://www.digikey.nl/en/products/result?keywords=CR0603-FX-3902ELF</t>
  </si>
  <si>
    <t>Resistor 4.7k 0603 1% (Bourns CR0603-FX-4701ELF)</t>
  </si>
  <si>
    <t>CR0603-FX-4701ELFCT-ND</t>
  </si>
  <si>
    <t>https://www.digikey.nl/en/products/result?keywords=CR0603-FX-4701ELF</t>
  </si>
  <si>
    <t>Diode 1N4148W SOD-123 (Slkormicro)</t>
  </si>
  <si>
    <t>21853071-ND</t>
  </si>
  <si>
    <t>https://www.digikey.nl/en/products/result?keywords=21853071-ND</t>
  </si>
  <si>
    <t>Schottky diode 1N5819W 40V 1A SOD-123FL (Slkormicro)</t>
  </si>
  <si>
    <t>26112808-ND</t>
  </si>
  <si>
    <t>https://www.digikey.nl/en/products/result?keywords=26112808-ND</t>
  </si>
  <si>
    <t>LED green 0805 (Lite-On LTST-C171KGKT)</t>
  </si>
  <si>
    <t>160-1426-1-ND</t>
  </si>
  <si>
    <t>https://www.digikey.nl/en/products/result?keywords=LTST-C171KGKT</t>
  </si>
  <si>
    <t>Inductor 10uH 3x3x1.5mm shielded (Bourns SRN3015TA-100M)</t>
  </si>
  <si>
    <t>SRN3015TA-100MCT-ND</t>
  </si>
  <si>
    <t>https://www.digikey.nl/en/products/result?keywords=SRN3015TA-100M</t>
  </si>
  <si>
    <t>Crystal 40MHz 2016 4-pin 8pF (Eaton E9X400081G08)</t>
  </si>
  <si>
    <t>283-E9X400081G08CT-ND</t>
  </si>
  <si>
    <t>https://www.digikey.nl/en/products/result?keywords=E9X400081G08</t>
  </si>
  <si>
    <t>Dual NPN/PNP transistor 40V W-DFN3020-8 (Diodes ZXTC4591AMCQTA)</t>
  </si>
  <si>
    <t>31-ZXTC4591AMCQTACT-ND</t>
  </si>
  <si>
    <t>https://www.digikey.nl/en/products/result?keywords=ZXTC4591AMCQTA</t>
  </si>
  <si>
    <t>Spectral sensor AS7341-DLGM (ams OSRAM)</t>
  </si>
  <si>
    <t>AS7341-DLGMCT-ND</t>
  </si>
  <si>
    <t>https://www.digikey.nl/en/products/result?keywords=AS7341-DLGM</t>
  </si>
  <si>
    <t>USB ESD protection IP4234CZ6,115 (Nexperia)</t>
  </si>
  <si>
    <t>1727-1217-1-ND</t>
  </si>
  <si>
    <t>https://www.digikey.nl/en/products/result?keywords=IP4234CZ6,115</t>
  </si>
  <si>
    <t>Boost converter MT3608 SOT-23-6 (Olimex resale) - NOT IN STOCK</t>
  </si>
  <si>
    <t>1188-SMDICMT3608-ND</t>
  </si>
  <si>
    <t>https://www.digikey.nl/en/products/result?keywords=1188-SMDICMT3608-ND</t>
  </si>
  <si>
    <t>Op-amp LM7321QMFX/NOPB SOT-23-5 (TI)</t>
  </si>
  <si>
    <t>296-LM7321QMFX/NOPBCT-ND</t>
  </si>
  <si>
    <t>https://www.digikey.nl/en/products/result?keywords=LM7321QMFX/NOPB</t>
  </si>
  <si>
    <t>Sensor BME280 (Bosch Sensortec) - NOT IN STOCK, backorder</t>
  </si>
  <si>
    <t>828-1063-1-ND</t>
  </si>
  <si>
    <t>https://www.digikey.nl/en/products/result?keywords=828-1063-1-ND</t>
  </si>
  <si>
    <t>Dual LDO 1.8V/3.3V AP7312-1833W6-7 (Diodes Inc)</t>
  </si>
  <si>
    <t>AP7312-1833W6-7DICT-ND</t>
  </si>
  <si>
    <t>https://www.digikey.nl/en/products/result?keywords=AP7312-1833W6-7</t>
  </si>
  <si>
    <t>SoC ESP8685H4 QFN-28 (Espressif)</t>
  </si>
  <si>
    <t>1965-ESP8685H4CT-ND</t>
  </si>
  <si>
    <t>https://www.digikey.nl/en/products/result?keywords=ESP8685H4</t>
  </si>
  <si>
    <t>USB-C receptacle 16-pin top mount 12402012E212A (Amphenol ICC)</t>
  </si>
  <si>
    <t>664-12402012E212ACT-ND</t>
  </si>
  <si>
    <t>https://www.digikey.nl/en/products/result?keywords=12402012E212A</t>
  </si>
  <si>
    <t>Pin header 1x02 2.54mm vertical THT (Sullins PRPC002SAAN-RC)</t>
  </si>
  <si>
    <t>35-PRPC002SAAN-RC-ND</t>
  </si>
  <si>
    <t>https://www.digikey.nl/en/products/result?keywords=PRPC002SAAN-RC</t>
  </si>
  <si>
    <t>#</t>
  </si>
  <si>
    <t>References</t>
  </si>
  <si>
    <t>Value / Description</t>
  </si>
  <si>
    <t>Manufacturer</t>
  </si>
  <si>
    <t>MPN</t>
  </si>
  <si>
    <t>Supplier</t>
  </si>
  <si>
    <t>Link</t>
  </si>
  <si>
    <t>Qty per board</t>
  </si>
  <si>
    <t>Qty (10 boards)</t>
  </si>
  <si>
    <t>Order qty</t>
  </si>
  <si>
    <t>Unit price EUR</t>
  </si>
  <si>
    <t>Extended EUR</t>
  </si>
  <si>
    <t>Stock</t>
  </si>
  <si>
    <t>Notes</t>
  </si>
  <si>
    <t>C1,C2,C3,C4,C9,C10,C11,C12</t>
  </si>
  <si>
    <t>2.2uF 0603 X5R 25V 10%</t>
  </si>
  <si>
    <t>Murata</t>
  </si>
  <si>
    <t>GRM188R61E225KA12D</t>
  </si>
  <si>
    <t>DigiKey NL</t>
  </si>
  <si>
    <t>156,080</t>
  </si>
  <si>
    <t>Schematic MPN GRT188R61H225KE13D (50V) is in stock at DigiKey but costs 0.0656 EUR; 25V rating is sufficient for 3.3V/5V rails. Price at 50+ break.</t>
  </si>
  <si>
    <t>C6,C13,C201</t>
  </si>
  <si>
    <t>10uF 0603 X5R 25V 20%</t>
  </si>
  <si>
    <t>GRM188R61E106MA73D</t>
  </si>
  <si>
    <t>302,052</t>
  </si>
  <si>
    <t>Schematic MPN GRM188R61E106MA73J out of stock everywhere; MA73D is the same part with 20% tolerance. C13 in schematic wrongly carries the 2.2uF MPN. Farnell 1907503 lists it at ~0.0955 EUR (MOQ 10) but could not be verified (site blocked).</t>
  </si>
  <si>
    <t>C203</t>
  </si>
  <si>
    <t>10uF 0805 X5R 35V 10% (boost output, up to 28V)</t>
  </si>
  <si>
    <t>TDK</t>
  </si>
  <si>
    <t>C2012X5R1V106K085AC</t>
  </si>
  <si>
    <t>137,592</t>
  </si>
  <si>
    <t>No MPN in schematic; 35V rating chosen because boost output goes to 20-28V. DigiKey flags this TDK part NRND; active alternative Taiyo Yuden GMK212BBJ106MG-T (587-4894-1-ND) 0.273 EUR.</t>
  </si>
  <si>
    <t>C202</t>
  </si>
  <si>
    <t>1nF 0603 X7R 50V 10%</t>
  </si>
  <si>
    <t>Samsung</t>
  </si>
  <si>
    <t>CL10B102KB8NNNC</t>
  </si>
  <si>
    <t>1,036,225</t>
  </si>
  <si>
    <t>No MPN in schematic. Farnell 3013403 ~0.0163 EUR (unverified).</t>
  </si>
  <si>
    <t>C204,C205,C206,C208</t>
  </si>
  <si>
    <t>1uF 0603 X7R 25V 10%</t>
  </si>
  <si>
    <t>Wurth Elektronik</t>
  </si>
  <si>
    <t>885012206076</t>
  </si>
  <si>
    <t>72,775</t>
  </si>
  <si>
    <t>No MPN in schematic; Murata GRM188R61E105KA12D and Samsung CL10A105KA8NNNC out of stock. Ordering 50 (50+ break, 1.99 EUR) is cheaper than 40 at 0.057 (2.28 EUR).</t>
  </si>
  <si>
    <t>C207</t>
  </si>
  <si>
    <t>100pF 0603 C0G/NP0 50V 5%</t>
  </si>
  <si>
    <t>CL10C101JB8NNNC</t>
  </si>
  <si>
    <t>802,543</t>
  </si>
  <si>
    <t>No MPN in schematic. Farnell 3013439 ~0.0164 EUR (unverified).</t>
  </si>
  <si>
    <t>R2,R12,R13,R29,R30</t>
  </si>
  <si>
    <t>5.1 kOhm 0603 1% 0.1W</t>
  </si>
  <si>
    <t>Bourns</t>
  </si>
  <si>
    <t>CR0603-FX-5101ELF</t>
  </si>
  <si>
    <t>49,626</t>
  </si>
  <si>
    <t>Designer's MPN; 50+ price break.</t>
  </si>
  <si>
    <t>R201</t>
  </si>
  <si>
    <t>6.8 kOhm 0603 1% 0.1W</t>
  </si>
  <si>
    <t>CR0603-FX-6801ELF</t>
  </si>
  <si>
    <t>50,648</t>
  </si>
  <si>
    <t>R202</t>
  </si>
  <si>
    <t>187 kOhm 0603 1% 0.1W</t>
  </si>
  <si>
    <t>CR0603-FX-1873ELF</t>
  </si>
  <si>
    <t>24,971</t>
  </si>
  <si>
    <t>R203,R204</t>
  </si>
  <si>
    <t>100 kOhm 0603 1% 0.1W</t>
  </si>
  <si>
    <t>CR0603-FX-1003ELF</t>
  </si>
  <si>
    <t>1,013,144</t>
  </si>
  <si>
    <t>R205</t>
  </si>
  <si>
    <t>15 Ohm 0603 1% 0.1W</t>
  </si>
  <si>
    <t>CR0603-FX-15R0ELF</t>
  </si>
  <si>
    <t>57,113</t>
  </si>
  <si>
    <t>R206</t>
  </si>
  <si>
    <t>1.5 kOhm 0603 1% 0.1W</t>
  </si>
  <si>
    <t>CR0603-FX-1501ELF</t>
  </si>
  <si>
    <t>159,579</t>
  </si>
  <si>
    <t>R207</t>
  </si>
  <si>
    <t>270 kOhm 0603 1% 0.1W</t>
  </si>
  <si>
    <t>Yageo</t>
  </si>
  <si>
    <t>RC0603FR-07270KL</t>
  </si>
  <si>
    <t>235,572</t>
  </si>
  <si>
    <t>R208</t>
  </si>
  <si>
    <t>100 Ohm 0603 1% 0.1W</t>
  </si>
  <si>
    <t>CR0603-FX-1000ELF</t>
  </si>
  <si>
    <t>718,115</t>
  </si>
  <si>
    <t>R210</t>
  </si>
  <si>
    <t>39 kOhm 0603 1% 0.1W</t>
  </si>
  <si>
    <t>CR0603-FX-3902ELF</t>
  </si>
  <si>
    <t>37,369</t>
  </si>
  <si>
    <t>R211,R212</t>
  </si>
  <si>
    <t>4.7 kOhm 0603 1% 0.1W</t>
  </si>
  <si>
    <t>CR0603-FX-4701ELF</t>
  </si>
  <si>
    <t>267,757</t>
  </si>
  <si>
    <t>D1</t>
  </si>
  <si>
    <t>1N4148W 75V 150mA switching diode SOD-123</t>
  </si>
  <si>
    <t>Shenzhen Slkormicro</t>
  </si>
  <si>
    <t>1N4148W</t>
  </si>
  <si>
    <t>75,674</t>
  </si>
  <si>
    <t>Direct DigiKey stock (not marketplace). Schematic MPN MCC 1N4148W-TP: 0 stock at Farnell; brand alternative SMC 1N4148W (1655-1N4148WCT-ND) 0.071 EUR.</t>
  </si>
  <si>
    <t>D201</t>
  </si>
  <si>
    <t>Schottky 40V 1A SOD-123F/FL (boost output diode)</t>
  </si>
  <si>
    <t>1N5819W</t>
  </si>
  <si>
    <t>24,305</t>
  </si>
  <si>
    <t>Schematic value only says 'Schottky &gt;100mA, SOD-123F'. Brand alternatives: SMC 1N5819W (1655-1N5819WCT-ND) 0.119 EUR; onsemi MBR140SFT1G 0.317 EUR.</t>
  </si>
  <si>
    <t>D3</t>
  </si>
  <si>
    <t>LED green 0805</t>
  </si>
  <si>
    <t>Lite-On</t>
  </si>
  <si>
    <t>LTST-C171KGKT</t>
  </si>
  <si>
    <t>436,047</t>
  </si>
  <si>
    <t>Designer's MPN.</t>
  </si>
  <si>
    <t>L201</t>
  </si>
  <si>
    <t>10uH power inductor, Isat 0.75A, 3x3x1.5mm</t>
  </si>
  <si>
    <t>SRN3015TA-100M</t>
  </si>
  <si>
    <t>~1,080</t>
  </si>
  <si>
    <t>Designer's part (from schematic description). Isat only 0.75A; check against MT3608 peak switch current. Farnell 2616870 ~0.347 EUR (unverified).</t>
  </si>
  <si>
    <t>Y2</t>
  </si>
  <si>
    <t>40 MHz crystal, 2.0x1.6mm 4-pad, 8pF, +/-10ppm tol, +/-15ppm stability</t>
  </si>
  <si>
    <t>Eaton</t>
  </si>
  <si>
    <t>E9X400081G08</t>
  </si>
  <si>
    <t>2,655</t>
  </si>
  <si>
    <t>Schematic MPN ECS-400-8-47B2-CKM-TR is out of stock at DigiKey (ETA Jan 2027); Farnell 4757393 ~0.313 EUR unverified. Eaton stability is +/-15ppm vs +/-10ppm; for strict +/-10/10 use Kyocera CX2016SA40000D0FLJG1 (0.28 EUR, DigiKey).</t>
  </si>
  <si>
    <t>Q201</t>
  </si>
  <si>
    <t>Complementary NPN+PNP pair, 40V, 2.5A/2A, W-DFN3020-8 (3x2mm)</t>
  </si>
  <si>
    <t>Diodes Inc</t>
  </si>
  <si>
    <t>ZXTC4591AMCQTA</t>
  </si>
  <si>
    <t>3,540</t>
  </si>
  <si>
    <t>PART NOT SPECIFIED IN SCHEMATIC and Q201 is unrouted on the PCB. Chosen as the only &gt;=40V complementary pair in the W-DFN3020-8 package; datasheet pinout (B1/E1/B2/E2 small pads, C1/C2 large pads) matches the footprint. Verify pin mapping before ordering.</t>
  </si>
  <si>
    <t>U1</t>
  </si>
  <si>
    <t>11-channel spectral sensor, OLGA-8</t>
  </si>
  <si>
    <t>ams OSRAM</t>
  </si>
  <si>
    <t>AS7341-DLGM</t>
  </si>
  <si>
    <t>7,110</t>
  </si>
  <si>
    <t>Schematic value says AS7341-DLGT, MPN field says AS7341-DLGM (same die, DLGM is the standard orderable). DigiKey status NRND. Farnell only ~5 pcs.</t>
  </si>
  <si>
    <t>U2</t>
  </si>
  <si>
    <t>2-ch USB 2.0 ESD protection, SOT-457 (SC-74)</t>
  </si>
  <si>
    <t>Nexperia</t>
  </si>
  <si>
    <t>IP4234CZ6,115</t>
  </si>
  <si>
    <t>34,341</t>
  </si>
  <si>
    <t>Mouser 771-IP4234CZ6115 ~0.295 USD (unverified). Farnell: no stock.</t>
  </si>
  <si>
    <t>U201</t>
  </si>
  <si>
    <t>MT3608 1.2MHz boost converter, SOT-23-6</t>
  </si>
  <si>
    <t>Aerosemi (sold by Olimex)</t>
  </si>
  <si>
    <t>SMD IC MT3608</t>
  </si>
  <si>
    <t>0 (7 pcs due 17 Sep 2026, 3 pcs 7 Oct 2026)</t>
  </si>
  <si>
    <t>MT3608 is not stocked by DigiKey, Mouser or Farnell. Only listing is Olimex resale at DigiKey, currently 0 stock. Not a drop-in: AP3012KTR-G1 (DigiKey AP3012KTR-G1DICT-ND, 0.193 EUR, 74k stock) or TPS61041DBVR match pins 1-4 but are SOT-23-5 (VIN lands on pad 6 = NC) and use a 1.25V FB reference instead of 0.6V, so the divider (R201/R202/R207/R210) must be recalculated. Otherwise source MT3608 from LCSC.</t>
  </si>
  <si>
    <t>U202</t>
  </si>
  <si>
    <t>Rail-to-rail op-amp, SOT-23-5 (automotive grade of LM7321MF)</t>
  </si>
  <si>
    <t>Texas Instruments</t>
  </si>
  <si>
    <t>LM7321QMFX/NOPB</t>
  </si>
  <si>
    <t>9,589</t>
  </si>
  <si>
    <t>Schematic LM7321MF/NOPB is obsolete. LM7321MFX/NOPB (296-35181-1-ND) 2.157 EUR is the plain commercial grade; the Q (AEC-Q100) version is pin/spec identical and cheaper.</t>
  </si>
  <si>
    <t>U3</t>
  </si>
  <si>
    <t>Humidity/pressure/temperature sensor, LGA-8 2.5x2.5mm</t>
  </si>
  <si>
    <t>Bosch Sensortec</t>
  </si>
  <si>
    <t>BME280</t>
  </si>
  <si>
    <t>0 (10,000 past due, est. 19 Aug 2026; 12-wk lead)</t>
  </si>
  <si>
    <t>No stock at DigiKey, Mouser (119k due 20 Nov 2026) or Farnell (not listed). DigiKey shows marketplace partners may have stock; check on the product page. Price is DigiKey's list at qty 10.</t>
  </si>
  <si>
    <t>U5</t>
  </si>
  <si>
    <t>150mA dual LDO 1.8V/3.3V, TSOT-23-6</t>
  </si>
  <si>
    <t>AP7312-1833W6-7</t>
  </si>
  <si>
    <t>670</t>
  </si>
  <si>
    <t>Designer's MPN. Farnell 2138328 ~0.33 EUR (unverified), Mouser ~0.39 USD (unverified).</t>
  </si>
  <si>
    <t>U8</t>
  </si>
  <si>
    <t>ESP32-C3 core SoC with 4MB flash, QFN-28 4x4mm</t>
  </si>
  <si>
    <t>Espressif</t>
  </si>
  <si>
    <t>ESP8685H4</t>
  </si>
  <si>
    <t>2,921</t>
  </si>
  <si>
    <t>Designer's MPN. Mouser 356-ESP8685H4 ~2.45 USD (unverified). Farnell: not listed.</t>
  </si>
  <si>
    <t>J2</t>
  </si>
  <si>
    <t>USB 2.0 Type-C receptacle, 16 pin, SMT + 4 THT shell posts</t>
  </si>
  <si>
    <t>Amphenol ICC</t>
  </si>
  <si>
    <t>12402012E212A</t>
  </si>
  <si>
    <t>92,746</t>
  </si>
  <si>
    <t>Designer's MPN; verified footprint-compatible with KiCad HRO TYPE-C-31-M-12 footprint (8.64x4.18mm shell posts, 0.5mm pitch, 0.65mm NPTH). Rear post slot in KiCad footprint is 0.2mm shorter than Amphenol drawing (minor). Alternative GCT USB4105-GF-A 0.579 EUR.</t>
  </si>
  <si>
    <t>P201</t>
  </si>
  <si>
    <t>2-pin 2.54mm male header, vertical, through-hole</t>
  </si>
  <si>
    <t>Sullins</t>
  </si>
  <si>
    <t>PRPC002SAAN-RC</t>
  </si>
  <si>
    <t>49,279</t>
  </si>
  <si>
    <t>Piezo pump connector. No MPN in schematic.</t>
  </si>
  <si>
    <t>Total (10 boards)</t>
  </si>
  <si>
    <t>Reference</t>
  </si>
  <si>
    <t>Value</t>
  </si>
  <si>
    <t>Reason</t>
  </si>
  <si>
    <t>D2</t>
  </si>
  <si>
    <t>LED 0805</t>
  </si>
  <si>
    <t>Excluded from BOM in schematic (in_bom = no)</t>
  </si>
  <si>
    <t>J1</t>
  </si>
  <si>
    <t>Conn_01x08 Molex 5034800800 FFC</t>
  </si>
  <si>
    <t>Excluded from BOM and DNP in schematic; not placed on PCB</t>
  </si>
  <si>
    <t>J4</t>
  </si>
  <si>
    <t>Conn_01x02_Pin header</t>
  </si>
  <si>
    <t>Excluded from BOM and DNP in schematic</t>
  </si>
  <si>
    <t>J5</t>
  </si>
  <si>
    <t>secondBoard PinSocket 1x04 1.27mm</t>
  </si>
  <si>
    <t>R3</t>
  </si>
  <si>
    <t>0R 0603</t>
  </si>
  <si>
    <t>Excluded from BOM and DNP</t>
  </si>
  <si>
    <t>R4</t>
  </si>
  <si>
    <t>10K 0603</t>
  </si>
  <si>
    <t>DNP in schematic; not placed on PCB</t>
  </si>
  <si>
    <t>R5</t>
  </si>
  <si>
    <t>R6</t>
  </si>
  <si>
    <t>R7</t>
  </si>
  <si>
    <t>R8</t>
  </si>
  <si>
    <t>SW2</t>
  </si>
  <si>
    <t>SW_Push EVQP2</t>
  </si>
  <si>
    <t>MH201-MH205</t>
  </si>
  <si>
    <t>Mounting holes</t>
  </si>
  <si>
    <t>Board-only, no part</t>
  </si>
  <si>
    <t>#PWR*, #FLG*</t>
  </si>
  <si>
    <t>Power symbols</t>
  </si>
  <si>
    <t>Not physical parts</t>
  </si>
  <si>
    <t>https://www.digikey.nl/en/products/detail/smc-diode-solutions/1N4148W/6022450</t>
  </si>
  <si>
    <t>https://www.digikey.nl/en/products/detail/smc-diode-solutions/1N5819W/15964237</t>
  </si>
  <si>
    <t>ECS-400-6-47B2-CKM-TR</t>
  </si>
  <si>
    <t>https://www.digikey.nl/en/products/detail/ecs-inc/ecs-400-6-47b2-ckm-tr/20534431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</si>
</sst>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\€#,##0.0000"/>
  </numFmts>
  <fonts count="5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2" borderId="0" xfId="0" applyFont="1" applyFill="1" applyAlignment="1">
      <alignment vertical="center" wrapText="1"/>
    </xf>
    <xf numFmtId="0" fontId="1" fillId="0" borderId="0" xfId="0" applyFont="1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nl/en/products/result?keywords=CR0603-FX-6801ELF" TargetMode="External"/><Relationship Id="rId13" Type="http://schemas.openxmlformats.org/officeDocument/2006/relationships/hyperlink" Target="https://www.digikey.nl/en/products/result?keywords=RC0603FR-07270KL" TargetMode="External"/><Relationship Id="rId18" Type="http://schemas.openxmlformats.org/officeDocument/2006/relationships/hyperlink" Target="https://www.digikey.nl/en/products/result?keywords=SRN3015TA-100M" TargetMode="External"/><Relationship Id="rId26" Type="http://schemas.openxmlformats.org/officeDocument/2006/relationships/hyperlink" Target="https://www.digikey.nl/en/products/result?keywords=ESP8685H4" TargetMode="External"/><Relationship Id="rId3" Type="http://schemas.openxmlformats.org/officeDocument/2006/relationships/hyperlink" Target="https://www.digikey.nl/en/products/result?keywords=445-14417-1-ND" TargetMode="External"/><Relationship Id="rId21" Type="http://schemas.openxmlformats.org/officeDocument/2006/relationships/hyperlink" Target="https://www.digikey.nl/en/products/result?keywords=IP4234CZ6,115" TargetMode="External"/><Relationship Id="rId7" Type="http://schemas.openxmlformats.org/officeDocument/2006/relationships/hyperlink" Target="https://www.digikey.nl/en/products/result?keywords=CR0603-FX-5101ELF" TargetMode="External"/><Relationship Id="rId12" Type="http://schemas.openxmlformats.org/officeDocument/2006/relationships/hyperlink" Target="https://www.digikey.nl/en/products/result?keywords=CR0603-FX-1501ELF" TargetMode="External"/><Relationship Id="rId17" Type="http://schemas.openxmlformats.org/officeDocument/2006/relationships/hyperlink" Target="https://www.digikey.nl/en/products/result?keywords=LTST-C171KGKT" TargetMode="External"/><Relationship Id="rId25" Type="http://schemas.openxmlformats.org/officeDocument/2006/relationships/hyperlink" Target="https://www.digikey.nl/en/products/result?keywords=AP7312-1833W6-7" TargetMode="External"/><Relationship Id="rId2" Type="http://schemas.openxmlformats.org/officeDocument/2006/relationships/hyperlink" Target="https://www.digikey.nl/en/products/result?keywords=490-7202-1-ND" TargetMode="External"/><Relationship Id="rId16" Type="http://schemas.openxmlformats.org/officeDocument/2006/relationships/hyperlink" Target="https://www.digikey.nl/en/products/result?keywords=CR0603-FX-4701ELF" TargetMode="External"/><Relationship Id="rId20" Type="http://schemas.openxmlformats.org/officeDocument/2006/relationships/hyperlink" Target="https://www.digikey.nl/en/products/result?keywords=AS7341-DLGM" TargetMode="External"/><Relationship Id="rId29" Type="http://schemas.openxmlformats.org/officeDocument/2006/relationships/hyperlink" Target="https://www.digikey.nl/en/products/detail/smc-diode-solutions/1N4148W/6022450" TargetMode="External"/><Relationship Id="rId1" Type="http://schemas.openxmlformats.org/officeDocument/2006/relationships/hyperlink" Target="https://www.digikey.nl/en/products/result?keywords=490-10731-1-ND" TargetMode="External"/><Relationship Id="rId6" Type="http://schemas.openxmlformats.org/officeDocument/2006/relationships/hyperlink" Target="https://www.digikey.nl/en/products/result?keywords=1276-1008-1-ND" TargetMode="External"/><Relationship Id="rId11" Type="http://schemas.openxmlformats.org/officeDocument/2006/relationships/hyperlink" Target="https://www.digikey.nl/en/products/result?keywords=CR0603-FX-15R0ELF" TargetMode="External"/><Relationship Id="rId24" Type="http://schemas.openxmlformats.org/officeDocument/2006/relationships/hyperlink" Target="https://www.digikey.nl/en/products/result?keywords=828-1063-1-ND" TargetMode="External"/><Relationship Id="rId5" Type="http://schemas.openxmlformats.org/officeDocument/2006/relationships/hyperlink" Target="https://www.digikey.nl/en/products/result?keywords=732-7994-1-ND" TargetMode="External"/><Relationship Id="rId15" Type="http://schemas.openxmlformats.org/officeDocument/2006/relationships/hyperlink" Target="https://www.digikey.nl/en/products/result?keywords=CR0603-FX-3902ELF" TargetMode="External"/><Relationship Id="rId23" Type="http://schemas.openxmlformats.org/officeDocument/2006/relationships/hyperlink" Target="https://www.digikey.nl/en/products/result?keywords=LM7321QMFX/NOPB" TargetMode="External"/><Relationship Id="rId28" Type="http://schemas.openxmlformats.org/officeDocument/2006/relationships/hyperlink" Target="https://www.digikey.nl/en/products/result?keywords=PRPC002SAAN-RC" TargetMode="External"/><Relationship Id="rId10" Type="http://schemas.openxmlformats.org/officeDocument/2006/relationships/hyperlink" Target="https://www.digikey.nl/en/products/result?keywords=CR0603-FX-1003ELF" TargetMode="External"/><Relationship Id="rId19" Type="http://schemas.openxmlformats.org/officeDocument/2006/relationships/hyperlink" Target="https://www.digikey.nl/en/products/result?keywords=ZXTC4591AMCQTA" TargetMode="External"/><Relationship Id="rId4" Type="http://schemas.openxmlformats.org/officeDocument/2006/relationships/hyperlink" Target="https://www.digikey.nl/en/products/result?keywords=1276-1018-1-ND" TargetMode="External"/><Relationship Id="rId9" Type="http://schemas.openxmlformats.org/officeDocument/2006/relationships/hyperlink" Target="https://www.digikey.nl/en/products/result?keywords=CR0603-FX-1873ELF" TargetMode="External"/><Relationship Id="rId14" Type="http://schemas.openxmlformats.org/officeDocument/2006/relationships/hyperlink" Target="https://www.digikey.nl/en/products/result?keywords=CR0603-FX-1000ELF" TargetMode="External"/><Relationship Id="rId22" Type="http://schemas.openxmlformats.org/officeDocument/2006/relationships/hyperlink" Target="https://www.digikey.nl/en/products/result?keywords=1188-SMDICMT3608-ND" TargetMode="External"/><Relationship Id="rId27" Type="http://schemas.openxmlformats.org/officeDocument/2006/relationships/hyperlink" Target="https://www.digikey.nl/en/products/result?keywords=12402012E212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nl/en/products/result?keywords=CR0603-FX-6801ELF" TargetMode="External"/><Relationship Id="rId13" Type="http://schemas.openxmlformats.org/officeDocument/2006/relationships/hyperlink" Target="https://www.digikey.nl/en/products/result?keywords=RC0603FR-07270KL" TargetMode="External"/><Relationship Id="rId18" Type="http://schemas.openxmlformats.org/officeDocument/2006/relationships/hyperlink" Target="https://www.digikey.nl/en/products/result?keywords=26112808-ND" TargetMode="External"/><Relationship Id="rId26" Type="http://schemas.openxmlformats.org/officeDocument/2006/relationships/hyperlink" Target="https://www.digikey.nl/en/products/result?keywords=LM7321QMFX/NOPB" TargetMode="External"/><Relationship Id="rId3" Type="http://schemas.openxmlformats.org/officeDocument/2006/relationships/hyperlink" Target="https://www.digikey.nl/en/products/result?keywords=445-14417-1-ND" TargetMode="External"/><Relationship Id="rId21" Type="http://schemas.openxmlformats.org/officeDocument/2006/relationships/hyperlink" Target="https://www.digikey.nl/en/products/result?keywords=E9X400081G08" TargetMode="External"/><Relationship Id="rId7" Type="http://schemas.openxmlformats.org/officeDocument/2006/relationships/hyperlink" Target="https://www.digikey.nl/en/products/result?keywords=CR0603-FX-5101ELF" TargetMode="External"/><Relationship Id="rId12" Type="http://schemas.openxmlformats.org/officeDocument/2006/relationships/hyperlink" Target="https://www.digikey.nl/en/products/result?keywords=CR0603-FX-1501ELF" TargetMode="External"/><Relationship Id="rId17" Type="http://schemas.openxmlformats.org/officeDocument/2006/relationships/hyperlink" Target="https://www.digikey.nl/en/products/result?keywords=21853071-ND" TargetMode="External"/><Relationship Id="rId25" Type="http://schemas.openxmlformats.org/officeDocument/2006/relationships/hyperlink" Target="https://www.digikey.nl/en/products/result?keywords=1188-SMDICMT3608-ND" TargetMode="External"/><Relationship Id="rId2" Type="http://schemas.openxmlformats.org/officeDocument/2006/relationships/hyperlink" Target="https://www.digikey.nl/en/products/result?keywords=490-7202-1-ND" TargetMode="External"/><Relationship Id="rId16" Type="http://schemas.openxmlformats.org/officeDocument/2006/relationships/hyperlink" Target="https://www.digikey.nl/en/products/result?keywords=CR0603-FX-4701ELF" TargetMode="External"/><Relationship Id="rId20" Type="http://schemas.openxmlformats.org/officeDocument/2006/relationships/hyperlink" Target="https://www.digikey.nl/en/products/result?keywords=SRN3015TA-100M" TargetMode="External"/><Relationship Id="rId29" Type="http://schemas.openxmlformats.org/officeDocument/2006/relationships/hyperlink" Target="https://www.digikey.nl/en/products/result?keywords=ESP8685H4" TargetMode="External"/><Relationship Id="rId1" Type="http://schemas.openxmlformats.org/officeDocument/2006/relationships/hyperlink" Target="https://www.digikey.nl/en/products/result?keywords=490-10731-1-ND" TargetMode="External"/><Relationship Id="rId6" Type="http://schemas.openxmlformats.org/officeDocument/2006/relationships/hyperlink" Target="https://www.digikey.nl/en/products/result?keywords=1276-1008-1-ND" TargetMode="External"/><Relationship Id="rId11" Type="http://schemas.openxmlformats.org/officeDocument/2006/relationships/hyperlink" Target="https://www.digikey.nl/en/products/result?keywords=CR0603-FX-15R0ELF" TargetMode="External"/><Relationship Id="rId24" Type="http://schemas.openxmlformats.org/officeDocument/2006/relationships/hyperlink" Target="https://www.digikey.nl/en/products/result?keywords=IP4234CZ6,115" TargetMode="External"/><Relationship Id="rId5" Type="http://schemas.openxmlformats.org/officeDocument/2006/relationships/hyperlink" Target="https://www.digikey.nl/en/products/result?keywords=732-7994-1-ND" TargetMode="External"/><Relationship Id="rId15" Type="http://schemas.openxmlformats.org/officeDocument/2006/relationships/hyperlink" Target="https://www.digikey.nl/en/products/result?keywords=CR0603-FX-3902ELF" TargetMode="External"/><Relationship Id="rId23" Type="http://schemas.openxmlformats.org/officeDocument/2006/relationships/hyperlink" Target="https://www.digikey.nl/en/products/result?keywords=AS7341-DLGM" TargetMode="External"/><Relationship Id="rId28" Type="http://schemas.openxmlformats.org/officeDocument/2006/relationships/hyperlink" Target="https://www.digikey.nl/en/products/result?keywords=AP7312-1833W6-7" TargetMode="External"/><Relationship Id="rId10" Type="http://schemas.openxmlformats.org/officeDocument/2006/relationships/hyperlink" Target="https://www.digikey.nl/en/products/result?keywords=CR0603-FX-1003ELF" TargetMode="External"/><Relationship Id="rId19" Type="http://schemas.openxmlformats.org/officeDocument/2006/relationships/hyperlink" Target="https://www.digikey.nl/en/products/result?keywords=LTST-C171KGKT" TargetMode="External"/><Relationship Id="rId31" Type="http://schemas.openxmlformats.org/officeDocument/2006/relationships/hyperlink" Target="https://www.digikey.nl/en/products/result?keywords=PRPC002SAAN-RC" TargetMode="External"/><Relationship Id="rId4" Type="http://schemas.openxmlformats.org/officeDocument/2006/relationships/hyperlink" Target="https://www.digikey.nl/en/products/result?keywords=1276-1018-1-ND" TargetMode="External"/><Relationship Id="rId9" Type="http://schemas.openxmlformats.org/officeDocument/2006/relationships/hyperlink" Target="https://www.digikey.nl/en/products/result?keywords=CR0603-FX-1873ELF" TargetMode="External"/><Relationship Id="rId14" Type="http://schemas.openxmlformats.org/officeDocument/2006/relationships/hyperlink" Target="https://www.digikey.nl/en/products/result?keywords=CR0603-FX-1000ELF" TargetMode="External"/><Relationship Id="rId22" Type="http://schemas.openxmlformats.org/officeDocument/2006/relationships/hyperlink" Target="https://www.digikey.nl/en/products/result?keywords=ZXTC4591AMCQTA" TargetMode="External"/><Relationship Id="rId27" Type="http://schemas.openxmlformats.org/officeDocument/2006/relationships/hyperlink" Target="https://www.digikey.nl/en/products/result?keywords=828-1063-1-ND" TargetMode="External"/><Relationship Id="rId30" Type="http://schemas.openxmlformats.org/officeDocument/2006/relationships/hyperlink" Target="https://www.digikey.nl/en/products/result?keywords=12402012E21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4" x14ac:dyDescent="0.3"/>
  <cols>
    <col min="1" max="1" width="65" customWidth="1"/>
    <col min="2" max="2" width="28" customWidth="1"/>
    <col min="3" max="3" width="70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>
        <v>80</v>
      </c>
    </row>
    <row r="3" spans="1:4" x14ac:dyDescent="0.3">
      <c r="A3" t="s">
        <v>7</v>
      </c>
      <c r="B3" t="s">
        <v>8</v>
      </c>
      <c r="C3" s="2" t="s">
        <v>9</v>
      </c>
      <c r="D3">
        <v>30</v>
      </c>
    </row>
    <row r="4" spans="1:4" x14ac:dyDescent="0.3">
      <c r="A4" t="s">
        <v>10</v>
      </c>
      <c r="B4" t="s">
        <v>11</v>
      </c>
      <c r="C4" s="2" t="s">
        <v>12</v>
      </c>
      <c r="D4">
        <v>10</v>
      </c>
    </row>
    <row r="5" spans="1:4" x14ac:dyDescent="0.3">
      <c r="A5" t="s">
        <v>13</v>
      </c>
      <c r="B5" t="s">
        <v>14</v>
      </c>
      <c r="C5" s="2" t="s">
        <v>15</v>
      </c>
      <c r="D5">
        <v>10</v>
      </c>
    </row>
    <row r="6" spans="1:4" x14ac:dyDescent="0.3">
      <c r="A6" t="s">
        <v>16</v>
      </c>
      <c r="B6" t="s">
        <v>17</v>
      </c>
      <c r="C6" s="2" t="s">
        <v>18</v>
      </c>
      <c r="D6">
        <v>40</v>
      </c>
    </row>
    <row r="7" spans="1:4" x14ac:dyDescent="0.3">
      <c r="A7" t="s">
        <v>19</v>
      </c>
      <c r="B7" t="s">
        <v>20</v>
      </c>
      <c r="C7" s="2" t="s">
        <v>21</v>
      </c>
      <c r="D7">
        <v>10</v>
      </c>
    </row>
    <row r="8" spans="1:4" x14ac:dyDescent="0.3">
      <c r="A8" t="s">
        <v>22</v>
      </c>
      <c r="B8" t="s">
        <v>23</v>
      </c>
      <c r="C8" s="2" t="s">
        <v>24</v>
      </c>
      <c r="D8">
        <v>50</v>
      </c>
    </row>
    <row r="9" spans="1:4" x14ac:dyDescent="0.3">
      <c r="A9" t="s">
        <v>25</v>
      </c>
      <c r="B9" t="s">
        <v>26</v>
      </c>
      <c r="C9" s="2" t="s">
        <v>27</v>
      </c>
      <c r="D9">
        <v>10</v>
      </c>
    </row>
    <row r="10" spans="1:4" x14ac:dyDescent="0.3">
      <c r="A10" t="s">
        <v>28</v>
      </c>
      <c r="B10" t="s">
        <v>29</v>
      </c>
      <c r="C10" s="2" t="s">
        <v>30</v>
      </c>
      <c r="D10">
        <v>10</v>
      </c>
    </row>
    <row r="11" spans="1:4" x14ac:dyDescent="0.3">
      <c r="A11" t="s">
        <v>31</v>
      </c>
      <c r="B11" t="s">
        <v>32</v>
      </c>
      <c r="C11" s="2" t="s">
        <v>33</v>
      </c>
      <c r="D11">
        <v>20</v>
      </c>
    </row>
    <row r="12" spans="1:4" x14ac:dyDescent="0.3">
      <c r="A12" t="s">
        <v>34</v>
      </c>
      <c r="B12" t="s">
        <v>35</v>
      </c>
      <c r="C12" s="2" t="s">
        <v>36</v>
      </c>
      <c r="D12">
        <v>10</v>
      </c>
    </row>
    <row r="13" spans="1:4" x14ac:dyDescent="0.3">
      <c r="A13" t="s">
        <v>37</v>
      </c>
      <c r="B13" t="s">
        <v>38</v>
      </c>
      <c r="C13" s="2" t="s">
        <v>39</v>
      </c>
      <c r="D13">
        <v>10</v>
      </c>
    </row>
    <row r="14" spans="1:4" x14ac:dyDescent="0.3">
      <c r="A14" t="s">
        <v>40</v>
      </c>
      <c r="B14" t="s">
        <v>41</v>
      </c>
      <c r="C14" s="2" t="s">
        <v>42</v>
      </c>
      <c r="D14">
        <v>10</v>
      </c>
    </row>
    <row r="15" spans="1:4" x14ac:dyDescent="0.3">
      <c r="A15" t="s">
        <v>43</v>
      </c>
      <c r="B15" t="s">
        <v>44</v>
      </c>
      <c r="C15" s="2" t="s">
        <v>45</v>
      </c>
      <c r="D15">
        <v>10</v>
      </c>
    </row>
    <row r="16" spans="1:4" x14ac:dyDescent="0.3">
      <c r="A16" t="s">
        <v>46</v>
      </c>
      <c r="B16" t="s">
        <v>47</v>
      </c>
      <c r="C16" s="2" t="s">
        <v>48</v>
      </c>
      <c r="D16">
        <v>10</v>
      </c>
    </row>
    <row r="17" spans="1:4" x14ac:dyDescent="0.3">
      <c r="A17" t="s">
        <v>49</v>
      </c>
      <c r="B17" t="s">
        <v>50</v>
      </c>
      <c r="C17" s="2" t="s">
        <v>51</v>
      </c>
      <c r="D17">
        <v>20</v>
      </c>
    </row>
    <row r="18" spans="1:4" x14ac:dyDescent="0.3">
      <c r="A18" t="s">
        <v>52</v>
      </c>
      <c r="B18" t="s">
        <v>53</v>
      </c>
      <c r="C18" s="7" t="s">
        <v>309</v>
      </c>
      <c r="D18">
        <v>10</v>
      </c>
    </row>
    <row r="19" spans="1:4" x14ac:dyDescent="0.3">
      <c r="A19" t="s">
        <v>55</v>
      </c>
      <c r="B19" t="s">
        <v>56</v>
      </c>
      <c r="C19" s="2" t="s">
        <v>310</v>
      </c>
      <c r="D19">
        <v>10</v>
      </c>
    </row>
    <row r="20" spans="1:4" x14ac:dyDescent="0.3">
      <c r="A20" t="s">
        <v>58</v>
      </c>
      <c r="B20" t="s">
        <v>59</v>
      </c>
      <c r="C20" s="2" t="s">
        <v>60</v>
      </c>
      <c r="D20">
        <v>10</v>
      </c>
    </row>
    <row r="21" spans="1:4" x14ac:dyDescent="0.3">
      <c r="A21" t="s">
        <v>61</v>
      </c>
      <c r="B21" t="s">
        <v>62</v>
      </c>
      <c r="C21" s="2" t="s">
        <v>63</v>
      </c>
      <c r="D21">
        <v>10</v>
      </c>
    </row>
    <row r="22" spans="1:4" x14ac:dyDescent="0.3">
      <c r="A22" t="s">
        <v>64</v>
      </c>
      <c r="B22" t="s">
        <v>311</v>
      </c>
      <c r="C22" s="2" t="s">
        <v>312</v>
      </c>
      <c r="D22">
        <v>10</v>
      </c>
    </row>
    <row r="23" spans="1:4" x14ac:dyDescent="0.3">
      <c r="A23" t="s">
        <v>67</v>
      </c>
      <c r="B23" t="s">
        <v>68</v>
      </c>
      <c r="C23" s="2" t="s">
        <v>69</v>
      </c>
      <c r="D23">
        <v>10</v>
      </c>
    </row>
    <row r="24" spans="1:4" x14ac:dyDescent="0.3">
      <c r="A24" t="s">
        <v>70</v>
      </c>
      <c r="B24" t="s">
        <v>71</v>
      </c>
      <c r="C24" s="2" t="s">
        <v>72</v>
      </c>
      <c r="D24">
        <v>10</v>
      </c>
    </row>
    <row r="25" spans="1:4" x14ac:dyDescent="0.3">
      <c r="A25" t="s">
        <v>73</v>
      </c>
      <c r="B25" t="s">
        <v>74</v>
      </c>
      <c r="C25" s="2" t="s">
        <v>75</v>
      </c>
      <c r="D25">
        <v>10</v>
      </c>
    </row>
    <row r="26" spans="1:4" x14ac:dyDescent="0.3">
      <c r="A26" t="s">
        <v>76</v>
      </c>
      <c r="B26" t="s">
        <v>77</v>
      </c>
      <c r="C26" s="2" t="s">
        <v>78</v>
      </c>
      <c r="D26">
        <v>10</v>
      </c>
    </row>
    <row r="27" spans="1:4" x14ac:dyDescent="0.3">
      <c r="A27" t="s">
        <v>79</v>
      </c>
      <c r="B27" t="s">
        <v>80</v>
      </c>
      <c r="C27" s="2" t="s">
        <v>81</v>
      </c>
      <c r="D27">
        <v>10</v>
      </c>
    </row>
    <row r="28" spans="1:4" x14ac:dyDescent="0.3">
      <c r="A28" t="s">
        <v>82</v>
      </c>
      <c r="B28" t="s">
        <v>83</v>
      </c>
      <c r="C28" s="2" t="s">
        <v>84</v>
      </c>
      <c r="D28">
        <v>10</v>
      </c>
    </row>
    <row r="29" spans="1:4" x14ac:dyDescent="0.3">
      <c r="A29" t="s">
        <v>85</v>
      </c>
      <c r="B29" t="s">
        <v>86</v>
      </c>
      <c r="C29" s="2" t="s">
        <v>87</v>
      </c>
      <c r="D29">
        <v>10</v>
      </c>
    </row>
    <row r="30" spans="1:4" x14ac:dyDescent="0.3">
      <c r="A30" t="s">
        <v>88</v>
      </c>
      <c r="B30" t="s">
        <v>89</v>
      </c>
      <c r="C30" s="2" t="s">
        <v>90</v>
      </c>
      <c r="D30">
        <v>10</v>
      </c>
    </row>
    <row r="31" spans="1:4" x14ac:dyDescent="0.3">
      <c r="A31" t="s">
        <v>91</v>
      </c>
      <c r="B31" t="s">
        <v>92</v>
      </c>
      <c r="C31" s="2" t="s">
        <v>93</v>
      </c>
      <c r="D31">
        <v>10</v>
      </c>
    </row>
    <row r="32" spans="1:4" x14ac:dyDescent="0.3">
      <c r="A32" t="s">
        <v>94</v>
      </c>
      <c r="B32" t="s">
        <v>95</v>
      </c>
      <c r="C32" s="2" t="s">
        <v>96</v>
      </c>
      <c r="D32">
        <v>10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20" r:id="rId17" xr:uid="{00000000-0004-0000-0000-000012000000}"/>
    <hyperlink ref="C21" r:id="rId18" xr:uid="{00000000-0004-0000-0000-000013000000}"/>
    <hyperlink ref="C23" r:id="rId19" xr:uid="{00000000-0004-0000-0000-000015000000}"/>
    <hyperlink ref="C24" r:id="rId20" xr:uid="{00000000-0004-0000-0000-000016000000}"/>
    <hyperlink ref="C25" r:id="rId21" xr:uid="{00000000-0004-0000-0000-000017000000}"/>
    <hyperlink ref="C26" r:id="rId22" xr:uid="{00000000-0004-0000-0000-000018000000}"/>
    <hyperlink ref="C27" r:id="rId23" xr:uid="{00000000-0004-0000-0000-000019000000}"/>
    <hyperlink ref="C28" r:id="rId24" xr:uid="{00000000-0004-0000-0000-00001A000000}"/>
    <hyperlink ref="C29" r:id="rId25" xr:uid="{00000000-0004-0000-0000-00001B000000}"/>
    <hyperlink ref="C30" r:id="rId26" xr:uid="{00000000-0004-0000-0000-00001C000000}"/>
    <hyperlink ref="C31" r:id="rId27" xr:uid="{00000000-0004-0000-0000-00001D000000}"/>
    <hyperlink ref="C32" r:id="rId28" xr:uid="{00000000-0004-0000-0000-00001E000000}"/>
    <hyperlink ref="C18" r:id="rId29" xr:uid="{ADBE7C47-22BA-4BA9-A6F0-D84BD0D0880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70" customWidth="1"/>
    <col min="4" max="4" width="27" customWidth="1"/>
    <col min="5" max="5" width="21" customWidth="1"/>
    <col min="6" max="6" width="12" customWidth="1"/>
    <col min="7" max="7" width="28" customWidth="1"/>
    <col min="8" max="8" width="70" customWidth="1"/>
    <col min="9" max="9" width="15" customWidth="1"/>
    <col min="10" max="10" width="17" customWidth="1"/>
    <col min="11" max="11" width="19" customWidth="1"/>
    <col min="12" max="12" width="16" customWidth="1"/>
    <col min="13" max="13" width="14" customWidth="1"/>
    <col min="14" max="14" width="51" customWidth="1"/>
    <col min="15" max="15" width="70" customWidth="1"/>
  </cols>
  <sheetData>
    <row r="1" spans="1:15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</row>
    <row r="2" spans="1:15" x14ac:dyDescent="0.3">
      <c r="A2">
        <v>1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5</v>
      </c>
      <c r="H2" s="2" t="s">
        <v>6</v>
      </c>
      <c r="I2">
        <v>8</v>
      </c>
      <c r="J2">
        <v>80</v>
      </c>
      <c r="K2">
        <v>80</v>
      </c>
      <c r="L2" s="3">
        <v>3.0599999999999999E-2</v>
      </c>
      <c r="M2" s="4">
        <f t="shared" ref="M2:M32" si="0">K2*L2</f>
        <v>2.448</v>
      </c>
      <c r="N2" t="s">
        <v>116</v>
      </c>
      <c r="O2" t="s">
        <v>117</v>
      </c>
    </row>
    <row r="3" spans="1:15" x14ac:dyDescent="0.3">
      <c r="A3">
        <v>2</v>
      </c>
      <c r="B3" t="s">
        <v>118</v>
      </c>
      <c r="C3" t="s">
        <v>119</v>
      </c>
      <c r="D3" t="s">
        <v>113</v>
      </c>
      <c r="E3" t="s">
        <v>120</v>
      </c>
      <c r="F3" t="s">
        <v>115</v>
      </c>
      <c r="G3" t="s">
        <v>8</v>
      </c>
      <c r="H3" s="2" t="s">
        <v>9</v>
      </c>
      <c r="I3">
        <v>3</v>
      </c>
      <c r="J3">
        <v>30</v>
      </c>
      <c r="K3">
        <v>30</v>
      </c>
      <c r="L3" s="3">
        <v>0.14099999999999999</v>
      </c>
      <c r="M3" s="4">
        <f t="shared" si="0"/>
        <v>4.2299999999999995</v>
      </c>
      <c r="N3" t="s">
        <v>121</v>
      </c>
      <c r="O3" t="s">
        <v>122</v>
      </c>
    </row>
    <row r="4" spans="1:15" x14ac:dyDescent="0.3">
      <c r="A4">
        <v>3</v>
      </c>
      <c r="B4" t="s">
        <v>123</v>
      </c>
      <c r="C4" t="s">
        <v>124</v>
      </c>
      <c r="D4" t="s">
        <v>125</v>
      </c>
      <c r="E4" t="s">
        <v>126</v>
      </c>
      <c r="F4" t="s">
        <v>115</v>
      </c>
      <c r="G4" t="s">
        <v>11</v>
      </c>
      <c r="H4" s="2" t="s">
        <v>12</v>
      </c>
      <c r="I4">
        <v>1</v>
      </c>
      <c r="J4">
        <v>10</v>
      </c>
      <c r="K4">
        <v>10</v>
      </c>
      <c r="L4" s="3">
        <v>0.248</v>
      </c>
      <c r="M4" s="4">
        <f t="shared" si="0"/>
        <v>2.48</v>
      </c>
      <c r="N4" t="s">
        <v>127</v>
      </c>
      <c r="O4" t="s">
        <v>128</v>
      </c>
    </row>
    <row r="5" spans="1:15" x14ac:dyDescent="0.3">
      <c r="A5">
        <v>4</v>
      </c>
      <c r="B5" t="s">
        <v>129</v>
      </c>
      <c r="C5" t="s">
        <v>130</v>
      </c>
      <c r="D5" t="s">
        <v>131</v>
      </c>
      <c r="E5" t="s">
        <v>132</v>
      </c>
      <c r="F5" t="s">
        <v>115</v>
      </c>
      <c r="G5" t="s">
        <v>14</v>
      </c>
      <c r="H5" s="2" t="s">
        <v>15</v>
      </c>
      <c r="I5">
        <v>1</v>
      </c>
      <c r="J5">
        <v>10</v>
      </c>
      <c r="K5">
        <v>10</v>
      </c>
      <c r="L5" s="3">
        <v>2.9000000000000001E-2</v>
      </c>
      <c r="M5" s="4">
        <f t="shared" si="0"/>
        <v>0.29000000000000004</v>
      </c>
      <c r="N5" t="s">
        <v>133</v>
      </c>
      <c r="O5" t="s">
        <v>134</v>
      </c>
    </row>
    <row r="6" spans="1:15" x14ac:dyDescent="0.3">
      <c r="A6">
        <v>5</v>
      </c>
      <c r="B6" t="s">
        <v>135</v>
      </c>
      <c r="C6" t="s">
        <v>136</v>
      </c>
      <c r="D6" t="s">
        <v>137</v>
      </c>
      <c r="E6" t="s">
        <v>138</v>
      </c>
      <c r="F6" t="s">
        <v>115</v>
      </c>
      <c r="G6" t="s">
        <v>17</v>
      </c>
      <c r="H6" s="2" t="s">
        <v>18</v>
      </c>
      <c r="I6">
        <v>4</v>
      </c>
      <c r="J6">
        <v>40</v>
      </c>
      <c r="K6">
        <v>50</v>
      </c>
      <c r="L6" s="3">
        <v>3.9800000000000002E-2</v>
      </c>
      <c r="M6" s="4">
        <f t="shared" si="0"/>
        <v>1.9900000000000002</v>
      </c>
      <c r="N6" t="s">
        <v>139</v>
      </c>
      <c r="O6" t="s">
        <v>140</v>
      </c>
    </row>
    <row r="7" spans="1:15" x14ac:dyDescent="0.3">
      <c r="A7">
        <v>6</v>
      </c>
      <c r="B7" t="s">
        <v>141</v>
      </c>
      <c r="C7" t="s">
        <v>142</v>
      </c>
      <c r="D7" t="s">
        <v>131</v>
      </c>
      <c r="E7" t="s">
        <v>143</v>
      </c>
      <c r="F7" t="s">
        <v>115</v>
      </c>
      <c r="G7" t="s">
        <v>20</v>
      </c>
      <c r="H7" s="2" t="s">
        <v>21</v>
      </c>
      <c r="I7">
        <v>1</v>
      </c>
      <c r="J7">
        <v>10</v>
      </c>
      <c r="K7">
        <v>10</v>
      </c>
      <c r="L7" s="3">
        <v>2.8000000000000001E-2</v>
      </c>
      <c r="M7" s="4">
        <f t="shared" si="0"/>
        <v>0.28000000000000003</v>
      </c>
      <c r="N7" t="s">
        <v>144</v>
      </c>
      <c r="O7" t="s">
        <v>145</v>
      </c>
    </row>
    <row r="8" spans="1:15" x14ac:dyDescent="0.3">
      <c r="A8">
        <v>7</v>
      </c>
      <c r="B8" t="s">
        <v>146</v>
      </c>
      <c r="C8" t="s">
        <v>147</v>
      </c>
      <c r="D8" t="s">
        <v>148</v>
      </c>
      <c r="E8" t="s">
        <v>149</v>
      </c>
      <c r="F8" t="s">
        <v>115</v>
      </c>
      <c r="G8" t="s">
        <v>23</v>
      </c>
      <c r="H8" s="2" t="s">
        <v>24</v>
      </c>
      <c r="I8">
        <v>5</v>
      </c>
      <c r="J8">
        <v>50</v>
      </c>
      <c r="K8">
        <v>50</v>
      </c>
      <c r="L8" s="3">
        <v>1.0200000000000001E-2</v>
      </c>
      <c r="M8" s="4">
        <f t="shared" si="0"/>
        <v>0.51</v>
      </c>
      <c r="N8" t="s">
        <v>150</v>
      </c>
      <c r="O8" t="s">
        <v>151</v>
      </c>
    </row>
    <row r="9" spans="1:15" x14ac:dyDescent="0.3">
      <c r="A9">
        <v>8</v>
      </c>
      <c r="B9" t="s">
        <v>152</v>
      </c>
      <c r="C9" t="s">
        <v>153</v>
      </c>
      <c r="D9" t="s">
        <v>148</v>
      </c>
      <c r="E9" t="s">
        <v>154</v>
      </c>
      <c r="F9" t="s">
        <v>115</v>
      </c>
      <c r="G9" t="s">
        <v>26</v>
      </c>
      <c r="H9" s="2" t="s">
        <v>27</v>
      </c>
      <c r="I9">
        <v>1</v>
      </c>
      <c r="J9">
        <v>10</v>
      </c>
      <c r="K9">
        <v>10</v>
      </c>
      <c r="L9" s="3">
        <v>1.7999999999999999E-2</v>
      </c>
      <c r="M9" s="4">
        <f t="shared" si="0"/>
        <v>0.18</v>
      </c>
      <c r="N9" t="s">
        <v>155</v>
      </c>
    </row>
    <row r="10" spans="1:15" x14ac:dyDescent="0.3">
      <c r="A10">
        <v>9</v>
      </c>
      <c r="B10" t="s">
        <v>156</v>
      </c>
      <c r="C10" t="s">
        <v>157</v>
      </c>
      <c r="D10" t="s">
        <v>148</v>
      </c>
      <c r="E10" t="s">
        <v>158</v>
      </c>
      <c r="F10" t="s">
        <v>115</v>
      </c>
      <c r="G10" t="s">
        <v>29</v>
      </c>
      <c r="H10" s="2" t="s">
        <v>30</v>
      </c>
      <c r="I10">
        <v>1</v>
      </c>
      <c r="J10">
        <v>10</v>
      </c>
      <c r="K10">
        <v>10</v>
      </c>
      <c r="L10" s="3">
        <v>2.3E-2</v>
      </c>
      <c r="M10" s="4">
        <f t="shared" si="0"/>
        <v>0.22999999999999998</v>
      </c>
      <c r="N10" t="s">
        <v>159</v>
      </c>
    </row>
    <row r="11" spans="1:15" x14ac:dyDescent="0.3">
      <c r="A11">
        <v>10</v>
      </c>
      <c r="B11" t="s">
        <v>160</v>
      </c>
      <c r="C11" t="s">
        <v>161</v>
      </c>
      <c r="D11" t="s">
        <v>148</v>
      </c>
      <c r="E11" t="s">
        <v>162</v>
      </c>
      <c r="F11" t="s">
        <v>115</v>
      </c>
      <c r="G11" t="s">
        <v>32</v>
      </c>
      <c r="H11" s="2" t="s">
        <v>33</v>
      </c>
      <c r="I11">
        <v>2</v>
      </c>
      <c r="J11">
        <v>20</v>
      </c>
      <c r="K11">
        <v>20</v>
      </c>
      <c r="L11" s="3">
        <v>1.7999999999999999E-2</v>
      </c>
      <c r="M11" s="4">
        <f t="shared" si="0"/>
        <v>0.36</v>
      </c>
      <c r="N11" t="s">
        <v>163</v>
      </c>
    </row>
    <row r="12" spans="1:15" x14ac:dyDescent="0.3">
      <c r="A12">
        <v>11</v>
      </c>
      <c r="B12" t="s">
        <v>164</v>
      </c>
      <c r="C12" t="s">
        <v>165</v>
      </c>
      <c r="D12" t="s">
        <v>148</v>
      </c>
      <c r="E12" t="s">
        <v>166</v>
      </c>
      <c r="F12" t="s">
        <v>115</v>
      </c>
      <c r="G12" t="s">
        <v>35</v>
      </c>
      <c r="H12" s="2" t="s">
        <v>36</v>
      </c>
      <c r="I12">
        <v>1</v>
      </c>
      <c r="J12">
        <v>10</v>
      </c>
      <c r="K12">
        <v>10</v>
      </c>
      <c r="L12" s="3">
        <v>0.02</v>
      </c>
      <c r="M12" s="4">
        <f t="shared" si="0"/>
        <v>0.2</v>
      </c>
      <c r="N12" t="s">
        <v>167</v>
      </c>
    </row>
    <row r="13" spans="1:15" x14ac:dyDescent="0.3">
      <c r="A13">
        <v>12</v>
      </c>
      <c r="B13" t="s">
        <v>168</v>
      </c>
      <c r="C13" t="s">
        <v>169</v>
      </c>
      <c r="D13" t="s">
        <v>148</v>
      </c>
      <c r="E13" t="s">
        <v>170</v>
      </c>
      <c r="F13" t="s">
        <v>115</v>
      </c>
      <c r="G13" t="s">
        <v>38</v>
      </c>
      <c r="H13" s="2" t="s">
        <v>39</v>
      </c>
      <c r="I13">
        <v>1</v>
      </c>
      <c r="J13">
        <v>10</v>
      </c>
      <c r="K13">
        <v>10</v>
      </c>
      <c r="L13" s="3">
        <v>1.7999999999999999E-2</v>
      </c>
      <c r="M13" s="4">
        <f t="shared" si="0"/>
        <v>0.18</v>
      </c>
      <c r="N13" t="s">
        <v>171</v>
      </c>
    </row>
    <row r="14" spans="1:15" x14ac:dyDescent="0.3">
      <c r="A14">
        <v>13</v>
      </c>
      <c r="B14" t="s">
        <v>172</v>
      </c>
      <c r="C14" t="s">
        <v>173</v>
      </c>
      <c r="D14" t="s">
        <v>174</v>
      </c>
      <c r="E14" t="s">
        <v>175</v>
      </c>
      <c r="F14" t="s">
        <v>115</v>
      </c>
      <c r="G14" t="s">
        <v>41</v>
      </c>
      <c r="H14" s="2" t="s">
        <v>42</v>
      </c>
      <c r="I14">
        <v>1</v>
      </c>
      <c r="J14">
        <v>10</v>
      </c>
      <c r="K14">
        <v>10</v>
      </c>
      <c r="L14" s="3">
        <v>2.1000000000000001E-2</v>
      </c>
      <c r="M14" s="4">
        <f t="shared" si="0"/>
        <v>0.21000000000000002</v>
      </c>
      <c r="N14" t="s">
        <v>176</v>
      </c>
    </row>
    <row r="15" spans="1:15" x14ac:dyDescent="0.3">
      <c r="A15">
        <v>14</v>
      </c>
      <c r="B15" t="s">
        <v>177</v>
      </c>
      <c r="C15" t="s">
        <v>178</v>
      </c>
      <c r="D15" t="s">
        <v>148</v>
      </c>
      <c r="E15" t="s">
        <v>179</v>
      </c>
      <c r="F15" t="s">
        <v>115</v>
      </c>
      <c r="G15" t="s">
        <v>44</v>
      </c>
      <c r="H15" s="2" t="s">
        <v>45</v>
      </c>
      <c r="I15">
        <v>1</v>
      </c>
      <c r="J15">
        <v>10</v>
      </c>
      <c r="K15">
        <v>10</v>
      </c>
      <c r="L15" s="3">
        <v>1.7999999999999999E-2</v>
      </c>
      <c r="M15" s="4">
        <f t="shared" si="0"/>
        <v>0.18</v>
      </c>
      <c r="N15" t="s">
        <v>180</v>
      </c>
    </row>
    <row r="16" spans="1:15" x14ac:dyDescent="0.3">
      <c r="A16">
        <v>15</v>
      </c>
      <c r="B16" t="s">
        <v>181</v>
      </c>
      <c r="C16" t="s">
        <v>182</v>
      </c>
      <c r="D16" t="s">
        <v>148</v>
      </c>
      <c r="E16" t="s">
        <v>183</v>
      </c>
      <c r="F16" t="s">
        <v>115</v>
      </c>
      <c r="G16" t="s">
        <v>47</v>
      </c>
      <c r="H16" s="2" t="s">
        <v>48</v>
      </c>
      <c r="I16">
        <v>1</v>
      </c>
      <c r="J16">
        <v>10</v>
      </c>
      <c r="K16">
        <v>10</v>
      </c>
      <c r="L16" s="3">
        <v>2.3E-2</v>
      </c>
      <c r="M16" s="4">
        <f t="shared" si="0"/>
        <v>0.22999999999999998</v>
      </c>
      <c r="N16" t="s">
        <v>184</v>
      </c>
    </row>
    <row r="17" spans="1:15" x14ac:dyDescent="0.3">
      <c r="A17">
        <v>16</v>
      </c>
      <c r="B17" t="s">
        <v>185</v>
      </c>
      <c r="C17" t="s">
        <v>186</v>
      </c>
      <c r="D17" t="s">
        <v>148</v>
      </c>
      <c r="E17" t="s">
        <v>187</v>
      </c>
      <c r="F17" t="s">
        <v>115</v>
      </c>
      <c r="G17" t="s">
        <v>50</v>
      </c>
      <c r="H17" s="2" t="s">
        <v>51</v>
      </c>
      <c r="I17">
        <v>2</v>
      </c>
      <c r="J17">
        <v>20</v>
      </c>
      <c r="K17">
        <v>20</v>
      </c>
      <c r="L17" s="3">
        <v>1.7999999999999999E-2</v>
      </c>
      <c r="M17" s="4">
        <f t="shared" si="0"/>
        <v>0.36</v>
      </c>
      <c r="N17" t="s">
        <v>188</v>
      </c>
    </row>
    <row r="18" spans="1:15" x14ac:dyDescent="0.3">
      <c r="A18">
        <v>17</v>
      </c>
      <c r="B18" t="s">
        <v>189</v>
      </c>
      <c r="C18" t="s">
        <v>190</v>
      </c>
      <c r="D18" t="s">
        <v>191</v>
      </c>
      <c r="E18" t="s">
        <v>192</v>
      </c>
      <c r="F18" t="s">
        <v>115</v>
      </c>
      <c r="G18" t="s">
        <v>53</v>
      </c>
      <c r="H18" s="2" t="s">
        <v>54</v>
      </c>
      <c r="I18">
        <v>1</v>
      </c>
      <c r="J18">
        <v>10</v>
      </c>
      <c r="K18">
        <v>10</v>
      </c>
      <c r="L18" s="3">
        <v>0.03</v>
      </c>
      <c r="M18" s="4">
        <f t="shared" si="0"/>
        <v>0.3</v>
      </c>
      <c r="N18" t="s">
        <v>193</v>
      </c>
      <c r="O18" t="s">
        <v>194</v>
      </c>
    </row>
    <row r="19" spans="1:15" x14ac:dyDescent="0.3">
      <c r="A19">
        <v>18</v>
      </c>
      <c r="B19" t="s">
        <v>195</v>
      </c>
      <c r="C19" t="s">
        <v>196</v>
      </c>
      <c r="D19" t="s">
        <v>191</v>
      </c>
      <c r="E19" t="s">
        <v>197</v>
      </c>
      <c r="F19" t="s">
        <v>115</v>
      </c>
      <c r="G19" t="s">
        <v>56</v>
      </c>
      <c r="H19" s="2" t="s">
        <v>57</v>
      </c>
      <c r="I19">
        <v>1</v>
      </c>
      <c r="J19">
        <v>10</v>
      </c>
      <c r="K19">
        <v>10</v>
      </c>
      <c r="L19" s="3">
        <v>3.9E-2</v>
      </c>
      <c r="M19" s="4">
        <f t="shared" si="0"/>
        <v>0.39</v>
      </c>
      <c r="N19" t="s">
        <v>198</v>
      </c>
      <c r="O19" t="s">
        <v>199</v>
      </c>
    </row>
    <row r="20" spans="1:15" x14ac:dyDescent="0.3">
      <c r="A20">
        <v>19</v>
      </c>
      <c r="B20" t="s">
        <v>200</v>
      </c>
      <c r="C20" t="s">
        <v>201</v>
      </c>
      <c r="D20" t="s">
        <v>202</v>
      </c>
      <c r="E20" t="s">
        <v>203</v>
      </c>
      <c r="F20" t="s">
        <v>115</v>
      </c>
      <c r="G20" t="s">
        <v>59</v>
      </c>
      <c r="H20" s="2" t="s">
        <v>60</v>
      </c>
      <c r="I20">
        <v>1</v>
      </c>
      <c r="J20">
        <v>10</v>
      </c>
      <c r="K20">
        <v>10</v>
      </c>
      <c r="L20" s="3">
        <v>9.2999999999999999E-2</v>
      </c>
      <c r="M20" s="4">
        <f t="shared" si="0"/>
        <v>0.92999999999999994</v>
      </c>
      <c r="N20" t="s">
        <v>204</v>
      </c>
      <c r="O20" t="s">
        <v>205</v>
      </c>
    </row>
    <row r="21" spans="1:15" x14ac:dyDescent="0.3">
      <c r="A21">
        <v>20</v>
      </c>
      <c r="B21" t="s">
        <v>206</v>
      </c>
      <c r="C21" t="s">
        <v>207</v>
      </c>
      <c r="D21" t="s">
        <v>148</v>
      </c>
      <c r="E21" t="s">
        <v>208</v>
      </c>
      <c r="F21" t="s">
        <v>115</v>
      </c>
      <c r="G21" t="s">
        <v>62</v>
      </c>
      <c r="H21" s="2" t="s">
        <v>63</v>
      </c>
      <c r="I21">
        <v>1</v>
      </c>
      <c r="J21">
        <v>10</v>
      </c>
      <c r="K21">
        <v>10</v>
      </c>
      <c r="L21" s="3">
        <v>0.28100000000000003</v>
      </c>
      <c r="M21" s="4">
        <f t="shared" si="0"/>
        <v>2.8100000000000005</v>
      </c>
      <c r="N21" t="s">
        <v>209</v>
      </c>
      <c r="O21" t="s">
        <v>210</v>
      </c>
    </row>
    <row r="22" spans="1:15" x14ac:dyDescent="0.3">
      <c r="A22">
        <v>21</v>
      </c>
      <c r="B22" t="s">
        <v>211</v>
      </c>
      <c r="C22" t="s">
        <v>212</v>
      </c>
      <c r="D22" t="s">
        <v>213</v>
      </c>
      <c r="E22" t="s">
        <v>214</v>
      </c>
      <c r="F22" t="s">
        <v>115</v>
      </c>
      <c r="G22" t="s">
        <v>65</v>
      </c>
      <c r="H22" s="2" t="s">
        <v>66</v>
      </c>
      <c r="I22">
        <v>1</v>
      </c>
      <c r="J22">
        <v>10</v>
      </c>
      <c r="K22">
        <v>10</v>
      </c>
      <c r="L22" s="3">
        <v>0.183</v>
      </c>
      <c r="M22" s="4">
        <f t="shared" si="0"/>
        <v>1.83</v>
      </c>
      <c r="N22" t="s">
        <v>215</v>
      </c>
      <c r="O22" t="s">
        <v>216</v>
      </c>
    </row>
    <row r="23" spans="1:15" x14ac:dyDescent="0.3">
      <c r="A23">
        <v>22</v>
      </c>
      <c r="B23" t="s">
        <v>217</v>
      </c>
      <c r="C23" t="s">
        <v>218</v>
      </c>
      <c r="D23" t="s">
        <v>219</v>
      </c>
      <c r="E23" t="s">
        <v>220</v>
      </c>
      <c r="F23" t="s">
        <v>115</v>
      </c>
      <c r="G23" t="s">
        <v>68</v>
      </c>
      <c r="H23" s="2" t="s">
        <v>69</v>
      </c>
      <c r="I23">
        <v>1</v>
      </c>
      <c r="J23">
        <v>10</v>
      </c>
      <c r="K23">
        <v>10</v>
      </c>
      <c r="L23" s="3">
        <v>1.002</v>
      </c>
      <c r="M23" s="4">
        <f t="shared" si="0"/>
        <v>10.02</v>
      </c>
      <c r="N23" t="s">
        <v>221</v>
      </c>
      <c r="O23" t="s">
        <v>222</v>
      </c>
    </row>
    <row r="24" spans="1:15" x14ac:dyDescent="0.3">
      <c r="A24">
        <v>23</v>
      </c>
      <c r="B24" t="s">
        <v>223</v>
      </c>
      <c r="C24" t="s">
        <v>224</v>
      </c>
      <c r="D24" t="s">
        <v>225</v>
      </c>
      <c r="E24" t="s">
        <v>226</v>
      </c>
      <c r="F24" t="s">
        <v>115</v>
      </c>
      <c r="G24" t="s">
        <v>71</v>
      </c>
      <c r="H24" s="2" t="s">
        <v>72</v>
      </c>
      <c r="I24">
        <v>1</v>
      </c>
      <c r="J24">
        <v>10</v>
      </c>
      <c r="K24">
        <v>10</v>
      </c>
      <c r="L24" s="3">
        <v>6.31</v>
      </c>
      <c r="M24" s="4">
        <f t="shared" si="0"/>
        <v>63.099999999999994</v>
      </c>
      <c r="N24" t="s">
        <v>227</v>
      </c>
      <c r="O24" t="s">
        <v>228</v>
      </c>
    </row>
    <row r="25" spans="1:15" x14ac:dyDescent="0.3">
      <c r="A25">
        <v>24</v>
      </c>
      <c r="B25" t="s">
        <v>229</v>
      </c>
      <c r="C25" t="s">
        <v>230</v>
      </c>
      <c r="D25" t="s">
        <v>231</v>
      </c>
      <c r="E25" t="s">
        <v>232</v>
      </c>
      <c r="F25" t="s">
        <v>115</v>
      </c>
      <c r="G25" t="s">
        <v>74</v>
      </c>
      <c r="H25" s="2" t="s">
        <v>75</v>
      </c>
      <c r="I25">
        <v>1</v>
      </c>
      <c r="J25">
        <v>10</v>
      </c>
      <c r="K25">
        <v>10</v>
      </c>
      <c r="L25" s="3">
        <v>0.34699999999999998</v>
      </c>
      <c r="M25" s="4">
        <f t="shared" si="0"/>
        <v>3.4699999999999998</v>
      </c>
      <c r="N25" t="s">
        <v>233</v>
      </c>
      <c r="O25" t="s">
        <v>234</v>
      </c>
    </row>
    <row r="26" spans="1:15" x14ac:dyDescent="0.3">
      <c r="A26">
        <v>25</v>
      </c>
      <c r="B26" t="s">
        <v>235</v>
      </c>
      <c r="C26" t="s">
        <v>236</v>
      </c>
      <c r="D26" t="s">
        <v>237</v>
      </c>
      <c r="E26" t="s">
        <v>238</v>
      </c>
      <c r="F26" t="s">
        <v>115</v>
      </c>
      <c r="G26" t="s">
        <v>77</v>
      </c>
      <c r="H26" s="2" t="s">
        <v>78</v>
      </c>
      <c r="I26">
        <v>1</v>
      </c>
      <c r="J26">
        <v>10</v>
      </c>
      <c r="K26">
        <v>10</v>
      </c>
      <c r="L26" s="3">
        <v>0.22</v>
      </c>
      <c r="M26" s="4">
        <f t="shared" si="0"/>
        <v>2.2000000000000002</v>
      </c>
      <c r="N26" t="s">
        <v>239</v>
      </c>
      <c r="O26" t="s">
        <v>240</v>
      </c>
    </row>
    <row r="27" spans="1:15" x14ac:dyDescent="0.3">
      <c r="A27">
        <v>26</v>
      </c>
      <c r="B27" t="s">
        <v>241</v>
      </c>
      <c r="C27" t="s">
        <v>242</v>
      </c>
      <c r="D27" t="s">
        <v>243</v>
      </c>
      <c r="E27" t="s">
        <v>244</v>
      </c>
      <c r="F27" t="s">
        <v>115</v>
      </c>
      <c r="G27" t="s">
        <v>80</v>
      </c>
      <c r="H27" s="2" t="s">
        <v>81</v>
      </c>
      <c r="I27">
        <v>1</v>
      </c>
      <c r="J27">
        <v>10</v>
      </c>
      <c r="K27">
        <v>10</v>
      </c>
      <c r="L27" s="3">
        <v>2.04</v>
      </c>
      <c r="M27" s="4">
        <f t="shared" si="0"/>
        <v>20.399999999999999</v>
      </c>
      <c r="N27" t="s">
        <v>245</v>
      </c>
      <c r="O27" t="s">
        <v>246</v>
      </c>
    </row>
    <row r="28" spans="1:15" x14ac:dyDescent="0.3">
      <c r="A28">
        <v>27</v>
      </c>
      <c r="B28" t="s">
        <v>247</v>
      </c>
      <c r="C28" t="s">
        <v>248</v>
      </c>
      <c r="D28" t="s">
        <v>249</v>
      </c>
      <c r="E28" t="s">
        <v>250</v>
      </c>
      <c r="F28" t="s">
        <v>115</v>
      </c>
      <c r="G28" t="s">
        <v>83</v>
      </c>
      <c r="H28" s="2" t="s">
        <v>84</v>
      </c>
      <c r="I28">
        <v>1</v>
      </c>
      <c r="J28">
        <v>10</v>
      </c>
      <c r="K28">
        <v>10</v>
      </c>
      <c r="L28" s="3">
        <v>2.93</v>
      </c>
      <c r="M28" s="4">
        <f t="shared" si="0"/>
        <v>29.3</v>
      </c>
      <c r="N28" t="s">
        <v>251</v>
      </c>
      <c r="O28" t="s">
        <v>252</v>
      </c>
    </row>
    <row r="29" spans="1:15" x14ac:dyDescent="0.3">
      <c r="A29">
        <v>28</v>
      </c>
      <c r="B29" t="s">
        <v>253</v>
      </c>
      <c r="C29" t="s">
        <v>254</v>
      </c>
      <c r="D29" t="s">
        <v>219</v>
      </c>
      <c r="E29" t="s">
        <v>255</v>
      </c>
      <c r="F29" t="s">
        <v>115</v>
      </c>
      <c r="G29" t="s">
        <v>86</v>
      </c>
      <c r="H29" s="2" t="s">
        <v>87</v>
      </c>
      <c r="I29">
        <v>1</v>
      </c>
      <c r="J29">
        <v>10</v>
      </c>
      <c r="K29">
        <v>10</v>
      </c>
      <c r="L29" s="3">
        <v>0.37</v>
      </c>
      <c r="M29" s="4">
        <f t="shared" si="0"/>
        <v>3.7</v>
      </c>
      <c r="N29" t="s">
        <v>256</v>
      </c>
      <c r="O29" t="s">
        <v>257</v>
      </c>
    </row>
    <row r="30" spans="1:15" x14ac:dyDescent="0.3">
      <c r="A30">
        <v>29</v>
      </c>
      <c r="B30" t="s">
        <v>258</v>
      </c>
      <c r="C30" t="s">
        <v>259</v>
      </c>
      <c r="D30" t="s">
        <v>260</v>
      </c>
      <c r="E30" t="s">
        <v>261</v>
      </c>
      <c r="F30" t="s">
        <v>115</v>
      </c>
      <c r="G30" t="s">
        <v>89</v>
      </c>
      <c r="H30" s="2" t="s">
        <v>90</v>
      </c>
      <c r="I30">
        <v>1</v>
      </c>
      <c r="J30">
        <v>10</v>
      </c>
      <c r="K30">
        <v>10</v>
      </c>
      <c r="L30" s="3">
        <v>2.1</v>
      </c>
      <c r="M30" s="4">
        <f t="shared" si="0"/>
        <v>21</v>
      </c>
      <c r="N30" t="s">
        <v>262</v>
      </c>
      <c r="O30" t="s">
        <v>263</v>
      </c>
    </row>
    <row r="31" spans="1:15" x14ac:dyDescent="0.3">
      <c r="A31">
        <v>30</v>
      </c>
      <c r="B31" t="s">
        <v>264</v>
      </c>
      <c r="C31" t="s">
        <v>265</v>
      </c>
      <c r="D31" t="s">
        <v>266</v>
      </c>
      <c r="E31" t="s">
        <v>267</v>
      </c>
      <c r="F31" t="s">
        <v>115</v>
      </c>
      <c r="G31" t="s">
        <v>92</v>
      </c>
      <c r="H31" s="2" t="s">
        <v>93</v>
      </c>
      <c r="I31">
        <v>1</v>
      </c>
      <c r="J31">
        <v>10</v>
      </c>
      <c r="K31">
        <v>10</v>
      </c>
      <c r="L31" s="3">
        <v>0.53200000000000003</v>
      </c>
      <c r="M31" s="4">
        <f t="shared" si="0"/>
        <v>5.32</v>
      </c>
      <c r="N31" t="s">
        <v>268</v>
      </c>
      <c r="O31" t="s">
        <v>269</v>
      </c>
    </row>
    <row r="32" spans="1:15" x14ac:dyDescent="0.3">
      <c r="A32">
        <v>31</v>
      </c>
      <c r="B32" t="s">
        <v>270</v>
      </c>
      <c r="C32" t="s">
        <v>271</v>
      </c>
      <c r="D32" t="s">
        <v>272</v>
      </c>
      <c r="E32" t="s">
        <v>273</v>
      </c>
      <c r="F32" t="s">
        <v>115</v>
      </c>
      <c r="G32" t="s">
        <v>95</v>
      </c>
      <c r="H32" s="2" t="s">
        <v>96</v>
      </c>
      <c r="I32">
        <v>1</v>
      </c>
      <c r="J32">
        <v>10</v>
      </c>
      <c r="K32">
        <v>10</v>
      </c>
      <c r="L32" s="3">
        <v>3.4000000000000002E-2</v>
      </c>
      <c r="M32" s="4">
        <f t="shared" si="0"/>
        <v>0.34</v>
      </c>
      <c r="N32" t="s">
        <v>274</v>
      </c>
      <c r="O32" t="s">
        <v>275</v>
      </c>
    </row>
    <row r="34" spans="11:13" x14ac:dyDescent="0.3">
      <c r="K34" s="5" t="s">
        <v>276</v>
      </c>
      <c r="M34" s="6">
        <f>SUM(M2:M32)</f>
        <v>179.46799999999999</v>
      </c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5" customWidth="1"/>
    <col min="3" max="3" width="59" customWidth="1"/>
  </cols>
  <sheetData>
    <row r="1" spans="1:3" x14ac:dyDescent="0.3">
      <c r="A1" s="1" t="s">
        <v>277</v>
      </c>
      <c r="B1" s="1" t="s">
        <v>278</v>
      </c>
      <c r="C1" s="1" t="s">
        <v>279</v>
      </c>
    </row>
    <row r="2" spans="1:3" x14ac:dyDescent="0.3">
      <c r="A2" t="s">
        <v>280</v>
      </c>
      <c r="B2" t="s">
        <v>281</v>
      </c>
      <c r="C2" t="s">
        <v>282</v>
      </c>
    </row>
    <row r="3" spans="1:3" x14ac:dyDescent="0.3">
      <c r="A3" t="s">
        <v>283</v>
      </c>
      <c r="B3" t="s">
        <v>284</v>
      </c>
      <c r="C3" t="s">
        <v>285</v>
      </c>
    </row>
    <row r="4" spans="1:3" x14ac:dyDescent="0.3">
      <c r="A4" t="s">
        <v>286</v>
      </c>
      <c r="B4" t="s">
        <v>287</v>
      </c>
      <c r="C4" t="s">
        <v>288</v>
      </c>
    </row>
    <row r="5" spans="1:3" x14ac:dyDescent="0.3">
      <c r="A5" t="s">
        <v>289</v>
      </c>
      <c r="B5" t="s">
        <v>290</v>
      </c>
      <c r="C5" t="s">
        <v>285</v>
      </c>
    </row>
    <row r="6" spans="1:3" x14ac:dyDescent="0.3">
      <c r="A6" t="s">
        <v>291</v>
      </c>
      <c r="B6" t="s">
        <v>292</v>
      </c>
      <c r="C6" t="s">
        <v>293</v>
      </c>
    </row>
    <row r="7" spans="1:3" x14ac:dyDescent="0.3">
      <c r="A7" t="s">
        <v>294</v>
      </c>
      <c r="B7" t="s">
        <v>295</v>
      </c>
      <c r="C7" t="s">
        <v>296</v>
      </c>
    </row>
    <row r="8" spans="1:3" x14ac:dyDescent="0.3">
      <c r="A8" t="s">
        <v>297</v>
      </c>
      <c r="B8" t="s">
        <v>295</v>
      </c>
      <c r="C8" t="s">
        <v>296</v>
      </c>
    </row>
    <row r="9" spans="1:3" x14ac:dyDescent="0.3">
      <c r="A9" t="s">
        <v>298</v>
      </c>
      <c r="B9" t="s">
        <v>292</v>
      </c>
      <c r="C9" t="s">
        <v>293</v>
      </c>
    </row>
    <row r="10" spans="1:3" x14ac:dyDescent="0.3">
      <c r="A10" t="s">
        <v>299</v>
      </c>
      <c r="B10" t="s">
        <v>295</v>
      </c>
      <c r="C10" t="s">
        <v>293</v>
      </c>
    </row>
    <row r="11" spans="1:3" x14ac:dyDescent="0.3">
      <c r="A11" t="s">
        <v>300</v>
      </c>
      <c r="B11" t="s">
        <v>295</v>
      </c>
      <c r="C11" t="s">
        <v>293</v>
      </c>
    </row>
    <row r="12" spans="1:3" x14ac:dyDescent="0.3">
      <c r="A12" t="s">
        <v>301</v>
      </c>
      <c r="B12" t="s">
        <v>302</v>
      </c>
      <c r="C12" t="s">
        <v>293</v>
      </c>
    </row>
    <row r="13" spans="1:3" x14ac:dyDescent="0.3">
      <c r="A13" t="s">
        <v>303</v>
      </c>
      <c r="B13" t="s">
        <v>304</v>
      </c>
      <c r="C13" t="s">
        <v>305</v>
      </c>
    </row>
    <row r="14" spans="1:3" x14ac:dyDescent="0.3">
      <c r="A14" t="s">
        <v>306</v>
      </c>
      <c r="B14" t="s">
        <v>307</v>
      </c>
      <c r="C14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Details</vt:lpstr>
      <vt:lpstr>Excluded (DNP)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Ludovico Caracciolo</cp:lastModifiedBy>
  <dcterms:created xsi:type="dcterms:W3CDTF">2026-09-09T06:44:20Z</dcterms:created>
  <dcterms:modified xsi:type="dcterms:W3CDTF">2026-09-09T07:03:03Z</dcterms:modified>
</cp:coreProperties>
</file>